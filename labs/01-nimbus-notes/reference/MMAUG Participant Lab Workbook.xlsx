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790ae2cd5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d1e42023b0d43f6"/>
    <x:sheet xmlns:r="http://schemas.openxmlformats.org/officeDocument/2006/relationships" name="Lab Prompts" sheetId="2" r:id="Re23cd887c43e470d"/>
    <x:sheet xmlns:r="http://schemas.openxmlformats.org/officeDocument/2006/relationships" name="Evaluation Scorecard" sheetId="3" r:id="Rbc546a1b1deb478c"/>
    <x:sheet xmlns:r="http://schemas.openxmlformats.org/officeDocument/2006/relationships" name="Scoring Guide" sheetId="4" r:id="Ra9ea9a59193b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454"/>
      </x:patternFill>
    </x:fill>
    <x:fill>
      <x:patternFill patternType="solid">
        <x:fgColor rgb="FFFFF7D6"/>
      </x:patternFill>
    </x:fill>
    <x:fill>
      <x:patternFill patternType="solid">
        <x:fgColor rgb="FFE6F4F1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aea1ee12548b9" /><Relationship Type="http://schemas.openxmlformats.org/officeDocument/2006/relationships/theme" Target="/xl/theme/theme1.xml" Id="Rc8ecadf529fb436d" /><Relationship Type="http://schemas.openxmlformats.org/officeDocument/2006/relationships/sharedStrings" Target="/xl/sharedStrings.xml" Id="R811766f8bb774b5d" /><Relationship Type="http://schemas.openxmlformats.org/officeDocument/2006/relationships/worksheet" Target="/xl/worksheets/sheet1.xml" Id="R0d1e42023b0d43f6" /><Relationship Type="http://schemas.openxmlformats.org/officeDocument/2006/relationships/worksheet" Target="/xl/worksheets/sheet2.xml" Id="Re23cd887c43e470d" /><Relationship Type="http://schemas.openxmlformats.org/officeDocument/2006/relationships/worksheet" Target="/xl/worksheets/sheet3.xml" Id="Rbc546a1b1deb478c" /><Relationship Type="http://schemas.openxmlformats.org/officeDocument/2006/relationships/worksheet" Target="/xl/worksheets/sheet4.xml" Id="Ra9ea9a59193b47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5" hidden="0" customWidth="1"/>
  </x:cols>
  <x:sheetData>
    <x:row r="1" ht="34" customHeight="1">
      <x:c r="A1" s="6" t="str">
        <x:v>MMAUG BOOTCAMP | PARTICIPANT WORKBOOK</x:v>
      </x:c>
      <x:c r="B1" s="6"/>
      <x:c r="C1" s="6"/>
      <x:c r="D1" s="6"/>
      <x:c r="E1" s="6"/>
      <x:c r="F1" s="6"/>
    </x:row>
    <x:row r="2">
      <x:c r="A2" s="10"/>
      <x:c r="B2" s="10"/>
      <x:c r="C2" s="10"/>
      <x:c r="D2" s="10"/>
      <x:c r="E2" s="10"/>
      <x:c r="F2" s="10"/>
    </x:row>
    <x:row r="3">
      <x:c r="A3" s="10" t="str">
        <x:v>Purpose</x:v>
      </x:c>
      <x:c r="B3" s="10" t="str">
        <x:v>Practise Prompt Engineering, Context Engineering and Evaluation</x:v>
      </x:c>
      <x:c r="C3" s="10"/>
      <x:c r="D3" s="10"/>
      <x:c r="E3" s="10"/>
      <x:c r="F3" s="10"/>
    </x:row>
    <x:row r="4">
      <x:c r="A4" s="10" t="str">
        <x:v>Contents</x:v>
      </x:c>
      <x:c r="B4" s="10" t="str">
        <x:v>10 labs: 5 Nimbus Notes + 5 Brightpath Logistics</x:v>
      </x:c>
      <x:c r="C4" s="10"/>
      <x:c r="D4" s="10"/>
      <x:c r="E4" s="10"/>
      <x:c r="F4" s="10"/>
    </x:row>
    <x:row r="5">
      <x:c r="A5" s="10" t="str">
        <x:v>How to run</x:v>
      </x:c>
      <x:c r="B5" s="10" t="str">
        <x:v>Read source document; copy system and user prompts into playground; paste AI output into Evaluation Scorecard.</x:v>
      </x:c>
      <x:c r="C5" s="10"/>
      <x:c r="D5" s="10"/>
      <x:c r="E5" s="10"/>
      <x:c r="F5" s="10"/>
    </x:row>
    <x:row r="6">
      <x:c r="A6" s="10" t="str">
        <x:v>Scoring</x:v>
      </x:c>
      <x:c r="B6" s="10" t="str">
        <x:v>Five criteria scored 0–2; N/A allowed. Critical hallucination = automatic fail.</x:v>
      </x:c>
      <x:c r="C6" s="10"/>
      <x:c r="D6" s="10"/>
      <x:c r="E6" s="10"/>
      <x:c r="F6" s="10"/>
    </x:row>
    <x:row r="7">
      <x:c r="A7" s="10" t="str">
        <x:v>Pass rule</x:v>
      </x:c>
      <x:c r="B7" s="10" t="str">
        <x:v>PASS if 8+ points out of 10 and no critical hallucination; use normalized 80% if N/A.</x:v>
      </x:c>
      <x:c r="C7" s="10"/>
      <x:c r="D7" s="10"/>
      <x:c r="E7" s="10"/>
      <x:c r="F7" s="10"/>
    </x:row>
    <x:row r="8">
      <x:c r="A8" s="10" t="str">
        <x:v>Important</x:v>
      </x:c>
      <x:c r="B8" s="10" t="str">
        <x:v>No system prompt means leave custom system instructions empty; reference documents remain available.</x:v>
      </x:c>
      <x:c r="C8" s="10"/>
      <x:c r="D8" s="10"/>
      <x:c r="E8" s="10"/>
      <x:c r="F8" s="10"/>
    </x:row>
    <x:row r="9">
      <x:c r="A9" s="10" t="str">
        <x:v>Reference documents</x:v>
      </x:c>
      <x:c r="B9" s="10" t="str">
        <x:v>Nimbus Notes FAQ Lab v1; Brightpath Logistics New Hire Fact Sheet</x:v>
      </x:c>
      <x:c r="C9" s="10"/>
      <x:c r="D9" s="10"/>
      <x:c r="E9" s="10"/>
      <x:c r="F9" s="10"/>
    </x:row>
    <x:row r="10">
      <x:c r="A10" s="10"/>
      <x:c r="B10" s="10"/>
      <x:c r="C10" s="10"/>
      <x:c r="D10" s="10"/>
      <x:c r="E10" s="10"/>
      <x:c r="F10" s="10"/>
    </x:row>
    <x:row r="11">
      <x:c r="A11" s="10"/>
      <x:c r="B11" s="10"/>
      <x:c r="C11" s="10"/>
      <x:c r="D11" s="10"/>
      <x:c r="E11" s="10"/>
      <x:c r="F11" s="10"/>
    </x:row>
    <x:row r="12">
      <x:c r="A12" s="10"/>
      <x:c r="B12" s="10"/>
      <x:c r="C12" s="10"/>
      <x:c r="D12" s="10"/>
      <x:c r="E12" s="10"/>
      <x:c r="F12" s="1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5" hidden="0" customWidth="1"/>
    <x:col min="4" max="4" width="34" hidden="0" customWidth="1"/>
    <x:col min="5" max="5" width="19" hidden="0" customWidth="1"/>
    <x:col min="6" max="6" width="75" hidden="0" customWidth="1"/>
    <x:col min="7" max="7" width="110" hidden="0" customWidth="1"/>
    <x:col min="8" max="8" width="95" hidden="0" customWidth="1"/>
    <x:col min="9" max="9" width="72" hidden="0" customWidth="1"/>
  </x:cols>
  <x:sheetData>
    <x:row r="1" ht="34" customHeight="1">
      <x:c r="A1" s="6" t="str">
        <x:v>Lab ID</x:v>
      </x:c>
      <x:c r="B1" s="6" t="str">
        <x:v>Scenario</x:v>
      </x:c>
      <x:c r="C1" s="6" t="str">
        <x:v>Objective</x:v>
      </x:c>
      <x:c r="D1" s="6" t="str">
        <x:v>Prompt Anatomy</x:v>
      </x:c>
      <x:c r="E1" s="6" t="str">
        <x:v>FAQ / Fact Coverage</x:v>
      </x:c>
      <x:c r="F1" s="6" t="str">
        <x:v>User Prompt</x:v>
      </x:c>
      <x:c r="G1" s="6" t="str">
        <x:v>System Prompt</x:v>
      </x:c>
      <x:c r="H1" s="6" t="str">
        <x:v>My Predicted Answer</x:v>
      </x:c>
      <x:c r="I1" s="6" t="str">
        <x:v>Discussion Questions</x:v>
      </x:c>
    </x:row>
    <x:row r="2" ht="105" customHeight="1">
      <x:c r="A2" s="20" t="str">
        <x:v>N1</x:v>
      </x:c>
      <x:c r="B2" s="20" t="str">
        <x:v>Nimbus Notes</x:v>
      </x:c>
      <x:c r="C2" s="20" t="str">
        <x:v>Observe baseline behavior without a custom system prompt.</x:v>
      </x:c>
      <x:c r="D2" s="20" t="str">
        <x:v>No custom system prompt</x:v>
      </x:c>
      <x:c r="E2" s="20" t="str">
        <x:v>Covered</x:v>
      </x:c>
      <x:c r="F2" s="20" t="str">
        <x:v>What subscription plans does Nimbus Notes offer, how much does each plan cost, and what storage is included?</x:v>
      </x:c>
      <x:c r="G2" s="20" t="str"/>
      <x:c r="H2" s="20" t="str"/>
      <x:c r="I2" s="20" t="str">
        <x:v>Does the answer add unsupported details? Is it structured consistently?</x:v>
      </x:c>
    </x:row>
    <x:row r="3" ht="105" customHeight="1">
      <x:c r="A3" s="20" t="str">
        <x:v>N2</x:v>
      </x:c>
      <x:c r="B3" s="20" t="str">
        <x:v>Nimbus Notes</x:v>
      </x:c>
      <x:c r="C3" s="20" t="str">
        <x:v>Test role, task and context without a specified response format.</x:v>
      </x:c>
      <x:c r="D3" s="20" t="str">
        <x:v>Role + Task + Context</x:v>
      </x:c>
      <x:c r="E3" s="20" t="str">
        <x:v>Covered</x:v>
      </x:c>
      <x:c r="F3" s="20" t="str">
        <x:v>I frequently work without internet access. Can I use Nimbus Notes offline, and which subscription plan would I need?</x:v>
      </x:c>
      <x:c r="G3" s="20" t="str">
        <x:v>Role: You are a knowledgeable customer support assistant for Nimbus Notes.
Task: Answer customer questions accurately using the Nimbus Notes FAQ.
Context: The attached Nimbus Notes FAQ is the official reference for pricing, storage, offline access, collaboration, security and support.</x:v>
      </x:c>
      <x:c r="H3" s="20" t="str"/>
      <x:c r="I3" s="20" t="str">
        <x:v>Does role and context improve accuracy? Does format vary?</x:v>
      </x:c>
    </x:row>
    <x:row r="4" ht="105" customHeight="1">
      <x:c r="A4" s="20" t="str">
        <x:v>N3</x:v>
      </x:c>
      <x:c r="B4" s="20" t="str">
        <x:v>Nimbus Notes</x:v>
      </x:c>
      <x:c r="C4" s="20" t="str">
        <x:v>Test grounding when the FAQ omits the requested information.</x:v>
      </x:c>
      <x:c r="D4" s="20" t="str">
        <x:v>Role + Task + Context</x:v>
      </x:c>
      <x:c r="E4" s="20" t="str">
        <x:v>Not covered</x:v>
      </x:c>
      <x:c r="F4" s="20" t="str">
        <x:v>Does Nimbus Notes integrate with Microsoft Teams, Slack, and Google Drive? Please explain how to configure these integrations.</x:v>
      </x:c>
      <x:c r="G4" s="20" t="str">
        <x:v>Role: You are a knowledgeable customer support assistant for Nimbus Notes.
Task: Answer customer questions accurately using the Nimbus Notes FAQ.
Context: The attached Nimbus Notes FAQ is the official reference for pricing, storage, offline access, collaboration, security and support.</x:v>
      </x:c>
      <x:c r="H4" s="20" t="str"/>
      <x:c r="I4" s="20" t="str">
        <x:v>Does the assistant invent integrations or instructions?</x:v>
      </x:c>
    </x:row>
    <x:row r="5" ht="105" customHeight="1">
      <x:c r="A5" s="20" t="str">
        <x:v>N4</x:v>
      </x:c>
      <x:c r="B5" s="20" t="str">
        <x:v>Nimbus Notes</x:v>
      </x:c>
      <x:c r="C5" s="20" t="str">
        <x:v>Test the complete prompt anatomy with an answerable question.</x:v>
      </x:c>
      <x:c r="D5" s="20" t="str">
        <x:v>Role + Task + Context + Format + Example</x:v>
      </x:c>
      <x:c r="E5" s="20" t="str">
        <x:v>Covered</x:v>
      </x:c>
      <x:c r="F5" s="20" t="str">
        <x:v>I’m considering the Nimbus Notes Team plan for my company. How many employees can collaborate in one workspace, what collaboration features are available, and how is our data protected?</x:v>
      </x:c>
      <x:c r="G5" s="20" t="str">
        <x:v>Role: You are Nimbus Support AI, a friendly and accurate customer support assistant.
Task: Answer using only the Nimbus Notes FAQ; do not invent features or policies. Explicitly acknowledge information not documented.
Context: The attached Nimbus Notes FAQ is the authoritative product reference.
Format: Use Answer, Details, Source, Next Step headings.
Example: Question: Can I export notes? Answer: Yes, individually as PDF, Markdown or plain text. Details: Bulk workspace export is Team-only. Source: Using the app. Next Step: Open the note menu.</x:v>
      </x:c>
      <x:c r="H5" s="20" t="str"/>
      <x:c r="I5" s="20" t="str">
        <x:v>Does it follow all four headings and stay within the FAQ?</x:v>
      </x:c>
    </x:row>
    <x:row r="6" ht="105" customHeight="1">
      <x:c r="A6" s="20" t="str">
        <x:v>N5</x:v>
      </x:c>
      <x:c r="B6" s="20" t="str">
        <x:v>Nimbus Notes</x:v>
      </x:c>
      <x:c r="C6" s="20" t="str">
        <x:v>Test complete anatomy and uncertainty handling.</x:v>
      </x:c>
      <x:c r="D6" s="20" t="str">
        <x:v>Role + Task + Context + Format + Example</x:v>
      </x:c>
      <x:c r="E6" s="20" t="str">
        <x:v>Not covered</x:v>
      </x:c>
      <x:c r="F6" s="20" t="str">
        <x:v>Does Nimbus Notes offer automatic AI-generated meeting summaries, and can it transcribe recorded meetings? Which subscription plan includes these features?</x:v>
      </x:c>
      <x:c r="G6" s="20" t="str">
        <x:v>Role: You are Nimbus Support AI, a friendly and accurate customer support assistant.
Task: Answer using only the Nimbus Notes FAQ; do not invent features or policies. Explicitly acknowledge information not documented.
Context: The attached Nimbus Notes FAQ is the authoritative product reference.
Format: Use Answer, Details, Source, Next Step headings.
Example: Question: Can I export notes? Answer: Yes, individually as PDF, Markdown or plain text. Details: Bulk workspace export is Team-only. Source: Using the app. Next Step: Open the note menu.</x:v>
      </x:c>
      <x:c r="H6" s="20" t="str"/>
      <x:c r="I6" s="20" t="str">
        <x:v>Does it avoid concluding that undocumented features definitely do not exist?</x:v>
      </x:c>
    </x:row>
    <x:row r="7" ht="105" customHeight="1">
      <x:c r="A7" s="20" t="str">
        <x:v>B1</x:v>
      </x:c>
      <x:c r="B7" s="20" t="str">
        <x:v>Brightpath Logistics</x:v>
      </x:c>
      <x:c r="C7" s="20" t="str">
        <x:v>Observe baseline behavior without custom instructions.</x:v>
      </x:c>
      <x:c r="D7" s="20" t="str">
        <x:v>No custom system prompt</x:v>
      </x:c>
      <x:c r="E7" s="20" t="str">
        <x:v>Covered</x:v>
      </x:c>
      <x:c r="F7" s="20" t="str">
        <x:v>What time should I arrive on my first day at Brightpath Logistics, where should I go, and what should I bring?</x:v>
      </x:c>
      <x:c r="G7" s="20" t="str"/>
      <x:c r="H7" s="20" t="str"/>
      <x:c r="I7" s="20" t="str">
        <x:v>Does it include exact facts without guessing?</x:v>
      </x:c>
    </x:row>
    <x:row r="8" ht="105" customHeight="1">
      <x:c r="A8" s="20" t="str">
        <x:v>B2</x:v>
      </x:c>
      <x:c r="B8" s="20" t="str">
        <x:v>Brightpath Logistics</x:v>
      </x:c>
      <x:c r="C8" s="20" t="str">
        <x:v>Test role, task and context on a covered onboarding question.</x:v>
      </x:c>
      <x:c r="D8" s="20" t="str">
        <x:v>Role + Task + Context</x:v>
      </x:c>
      <x:c r="E8" s="20" t="str">
        <x:v>Covered</x:v>
      </x:c>
      <x:c r="F8" s="20" t="str">
        <x:v>What will I do during my first week, and when will I receive my laptop and login credentials?</x:v>
      </x:c>
      <x:c r="G8" s="20" t="str">
        <x:v>Role: You are a friendly onboarding assistant for new employees at Brightpath Logistics.
Task: Answer employee onboarding questions using the company fact sheet.
Context: The Brightpath Logistics New Hire Fact Sheet covers Day 1, first-week schedule, equipment, benefits, payroll, parking, dress code and HR/IT contacts.</x:v>
      </x:c>
      <x:c r="H8" s="20" t="str"/>
      <x:c r="I8" s="20" t="str">
        <x:v>Does the assistant present the schedule clearly?</x:v>
      </x:c>
    </x:row>
    <x:row r="9" ht="105" customHeight="1">
      <x:c r="A9" s="20" t="str">
        <x:v>B3</x:v>
      </x:c>
      <x:c r="B9" s="20" t="str">
        <x:v>Brightpath Logistics</x:v>
      </x:c>
      <x:c r="C9" s="20" t="str">
        <x:v>Test handling of a policy absent from the fact sheet.</x:v>
      </x:c>
      <x:c r="D9" s="20" t="str">
        <x:v>Role + Task + Context</x:v>
      </x:c>
      <x:c r="E9" s="20" t="str">
        <x:v>Not covered</x:v>
      </x:c>
      <x:c r="F9" s="20" t="str">
        <x:v>Can I work from home three days a week during probation, and how do I apply for remote work?</x:v>
      </x:c>
      <x:c r="G9" s="20" t="str">
        <x:v>Role: You are a friendly onboarding assistant for new employees at Brightpath Logistics.
Task: Answer employee onboarding questions using the company fact sheet.
Context: The Brightpath Logistics New Hire Fact Sheet covers Day 1, first-week schedule, equipment, benefits, payroll, parking, dress code and HR/IT contacts.</x:v>
      </x:c>
      <x:c r="H9" s="20" t="str"/>
      <x:c r="I9" s="20" t="str">
        <x:v>Does it invent a remote-work entitlement or procedure?</x:v>
      </x:c>
    </x:row>
    <x:row r="10" ht="105" customHeight="1">
      <x:c r="A10" s="20" t="str">
        <x:v>B4</x:v>
      </x:c>
      <x:c r="B10" s="20" t="str">
        <x:v>Brightpath Logistics</x:v>
      </x:c>
      <x:c r="C10" s="20" t="str">
        <x:v>Test full anatomy on benefits and policy timelines.</x:v>
      </x:c>
      <x:c r="D10" s="20" t="str">
        <x:v>Role + Task + Context + Format + Example</x:v>
      </x:c>
      <x:c r="E10" s="20" t="str">
        <x:v>Covered</x:v>
      </x:c>
      <x:c r="F10" s="20" t="str">
        <x:v>When does health insurance start, when can I join the 401(k), and how many vacation days do full-time employees receive?</x:v>
      </x:c>
      <x:c r="G10" s="20" t="str">
        <x:v>Role: You are Brightpath Logistics Onboarding Helper, a welcoming and accurate new-hire assistant.
Task: Answer only from the Brightpath Logistics New Hire Fact Sheet. If a requested policy is not documented, say so and direct the employee to HR. Never invent policy details.
Context: The attached fact sheet is the authoritative reference for this training exercise.
Format: Answer; Key Details (bullets); Source; Next Step.
Example: Question: Who helps with laptop login issues? Answer: Contact the IT Helpdesk. Key Details: it-help@brightpathlogistics.example or extension 204. Source: New Hire Fact Sheet — IT Helpdesk. Next Step: Contact IT for setup support.</x:v>
      </x:c>
      <x:c r="H10" s="20" t="str"/>
      <x:c r="I10" s="20" t="str">
        <x:v>Does it correctly distinguish the three timelines and follow the output structure?</x:v>
      </x:c>
    </x:row>
    <x:row r="11" ht="105" customHeight="1">
      <x:c r="A11" s="20" t="str">
        <x:v>B5</x:v>
      </x:c>
      <x:c r="B11" s="20" t="str">
        <x:v>Brightpath Logistics</x:v>
      </x:c>
      <x:c r="C11" s="20" t="str">
        <x:v>Test full anatomy when reimbursement details are missing.</x:v>
      </x:c>
      <x:c r="D11" s="20" t="str">
        <x:v>Role + Task + Context + Format + Example</x:v>
      </x:c>
      <x:c r="E11" s="20" t="str">
        <x:v>Not covered</x:v>
      </x:c>
      <x:c r="F11" s="20" t="str">
        <x:v>Will Brightpath Logistics reimburse my home internet and provide a monthly home-office allowance? How much can I claim?</x:v>
      </x:c>
      <x:c r="G11" s="20" t="str">
        <x:v>Role: You are Brightpath Logistics Onboarding Helper, a welcoming and accurate new-hire assistant.
Task: Answer only from the Brightpath Logistics New Hire Fact Sheet. If a requested policy is not documented, say so and direct the employee to HR. Never invent policy details.
Context: The attached fact sheet is the authoritative reference for this training exercise.
Format: Answer; Key Details (bullets); Source; Next Step.
Example: Question: Who helps with laptop login issues? Answer: Contact the IT Helpdesk. Key Details: it-help@brightpathlogistics.example or extension 204. Source: New Hire Fact Sheet — IT Helpdesk. Next Step: Contact IT for setup support.</x:v>
      </x:c>
      <x:c r="H11" s="20" t="str"/>
      <x:c r="I11" s="20" t="str">
        <x:v>Does it avoid inventing an amount or policy?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78" hidden="0" customWidth="1"/>
    <x:col min="4" max="4" width="88" hidden="0" customWidth="1"/>
    <x:col min="5" max="5" width="18" hidden="0" customWidth="1"/>
    <x:col min="6" max="6" width="18" hidden="0" customWidth="1"/>
    <x:col min="7" max="7" width="18" hidden="0" customWidth="1"/>
    <x:col min="8" max="8" width="17" hidden="0" customWidth="1"/>
    <x:col min="9" max="9" width="22" hidden="0" customWidth="1"/>
    <x:col min="10" max="10" width="25" hidden="0" customWidth="1"/>
    <x:col min="11" max="11" width="60" hidden="0" customWidth="1"/>
    <x:col min="12" max="12" width="14" hidden="0" customWidth="1"/>
    <x:col min="13" max="13" width="18" hidden="0" customWidth="1"/>
    <x:col min="14" max="14" width="14" hidden="0" customWidth="1"/>
    <x:col min="15" max="15" width="25" hidden="0" customWidth="1"/>
    <x:col min="16" max="16" width="60" hidden="0" customWidth="1"/>
  </x:cols>
  <x:sheetData>
    <x:row r="1" ht="34" customHeight="1">
      <x:c r="A1" s="6" t="str">
        <x:v>Lab ID</x:v>
      </x:c>
      <x:c r="B1" s="6" t="str">
        <x:v>Scenario</x:v>
      </x:c>
      <x:c r="C1" s="6" t="str">
        <x:v>User Prompt</x:v>
      </x:c>
      <x:c r="D1" s="6" t="str">
        <x:v>AI Response (paste here)</x:v>
      </x:c>
      <x:c r="E1" s="6" t="str">
        <x:v>Accuracy (0–2)</x:v>
      </x:c>
      <x:c r="F1" s="6" t="str">
        <x:v>Grounding (0–2)</x:v>
      </x:c>
      <x:c r="G1" s="6" t="str">
        <x:v>Instructions (0–2)</x:v>
      </x:c>
      <x:c r="H1" s="6" t="str">
        <x:v>Format (0–2)</x:v>
      </x:c>
      <x:c r="I1" s="6" t="str">
        <x:v>Unknown Handling (0–2)</x:v>
      </x:c>
      <x:c r="J1" s="6" t="str">
        <x:v>Critical Hallucination?</x:v>
      </x:c>
      <x:c r="K1" s="6" t="str">
        <x:v>Unsupported Claim / Evidence</x:v>
      </x:c>
      <x:c r="L1" s="6" t="str">
        <x:v>Score</x:v>
      </x:c>
      <x:c r="M1" s="6" t="str">
        <x:v>Applicable Max</x:v>
      </x:c>
      <x:c r="N1" s="6" t="str">
        <x:v>Score %</x:v>
      </x:c>
      <x:c r="O1" s="6" t="str">
        <x:v>Result</x:v>
      </x:c>
      <x:c r="P1" s="6" t="str">
        <x:v>Improvement / Notes</x:v>
      </x:c>
    </x:row>
    <x:row r="2" ht="105" customHeight="1">
      <x:c r="A2" s="20" t="str">
        <x:v>N1</x:v>
      </x:c>
      <x:c r="B2" s="20" t="str">
        <x:v>Nimbus Notes</x:v>
      </x:c>
      <x:c r="C2" s="20" t="str">
        <x:v>What subscription plans does Nimbus Notes offer, how much does each plan cost, and what storage is included?</x:v>
      </x:c>
      <x:c r="D2" s="22" t="str"/>
      <x:c r="E2" s="22"/>
      <x:c r="F2" s="22"/>
      <x:c r="G2" s="22"/>
      <x:c r="H2" s="22"/>
      <x:c r="I2" s="22"/>
      <x:c r="J2" s="22" t="str">
        <x:v>No</x:v>
      </x:c>
      <x:c r="K2" s="22"/>
      <x:c r="L2" s="23" t="n">
        <x:f>SUM(E2:I2)</x:f>
        <x:v>0</x:v>
      </x:c>
      <x:c r="M2" s="23" t="n">
        <x:f>COUNT(E2:I2)*2</x:f>
        <x:v>0</x:v>
      </x:c>
      <x:c r="N2" s="24" t="str">
        <x:f>IF(M2=0,"",L2/M2)</x:f>
      </x:c>
      <x:c r="O2" s="23" t="str">
        <x:f>IF(M2=0,"NOT SCORED",IF(J2="Yes","FAIL - CRITICAL",IF(N2&gt;=0.8,"PASS",IF(N2&gt;=0.5,"NEEDS IMPROVEMENT","FAIL"))))</x:f>
        <x:v>NOT SCORED</x:v>
      </x:c>
      <x:c r="P2" s="22"/>
    </x:row>
    <x:row r="3" ht="105" customHeight="1">
      <x:c r="A3" s="20" t="str">
        <x:v>N2</x:v>
      </x:c>
      <x:c r="B3" s="20" t="str">
        <x:v>Nimbus Notes</x:v>
      </x:c>
      <x:c r="C3" s="20" t="str">
        <x:v>I frequently work without internet access. Can I use Nimbus Notes offline, and which subscription plan would I need?</x:v>
      </x:c>
      <x:c r="D3" s="22" t="str"/>
      <x:c r="E3" s="22"/>
      <x:c r="F3" s="22"/>
      <x:c r="G3" s="22"/>
      <x:c r="H3" s="22"/>
      <x:c r="I3" s="22"/>
      <x:c r="J3" s="22" t="str">
        <x:v>No</x:v>
      </x:c>
      <x:c r="K3" s="22"/>
      <x:c r="L3" s="23" t="n">
        <x:f>SUM(E3:I3)</x:f>
        <x:v>0</x:v>
      </x:c>
      <x:c r="M3" s="23" t="n">
        <x:f>COUNT(E3:I3)*2</x:f>
        <x:v>0</x:v>
      </x:c>
      <x:c r="N3" s="24" t="str">
        <x:f>IF(M3=0,"",L3/M3)</x:f>
      </x:c>
      <x:c r="O3" s="23" t="str">
        <x:f>IF(M3=0,"NOT SCORED",IF(J3="Yes","FAIL - CRITICAL",IF(N3&gt;=0.8,"PASS",IF(N3&gt;=0.5,"NEEDS IMPROVEMENT","FAIL"))))</x:f>
        <x:v>NOT SCORED</x:v>
      </x:c>
      <x:c r="P3" s="22"/>
    </x:row>
    <x:row r="4" ht="105" customHeight="1">
      <x:c r="A4" s="20" t="str">
        <x:v>N3</x:v>
      </x:c>
      <x:c r="B4" s="20" t="str">
        <x:v>Nimbus Notes</x:v>
      </x:c>
      <x:c r="C4" s="20" t="str">
        <x:v>Does Nimbus Notes integrate with Microsoft Teams, Slack, and Google Drive? Please explain how to configure these integrations.</x:v>
      </x:c>
      <x:c r="D4" s="22" t="str"/>
      <x:c r="E4" s="22"/>
      <x:c r="F4" s="22"/>
      <x:c r="G4" s="22"/>
      <x:c r="H4" s="22"/>
      <x:c r="I4" s="22"/>
      <x:c r="J4" s="22" t="str">
        <x:v>No</x:v>
      </x:c>
      <x:c r="K4" s="22"/>
      <x:c r="L4" s="23" t="n">
        <x:f>SUM(E4:I4)</x:f>
        <x:v>0</x:v>
      </x:c>
      <x:c r="M4" s="23" t="n">
        <x:f>COUNT(E4:I4)*2</x:f>
        <x:v>0</x:v>
      </x:c>
      <x:c r="N4" s="24" t="str">
        <x:f>IF(M4=0,"",L4/M4)</x:f>
      </x:c>
      <x:c r="O4" s="23" t="str">
        <x:f>IF(M4=0,"NOT SCORED",IF(J4="Yes","FAIL - CRITICAL",IF(N4&gt;=0.8,"PASS",IF(N4&gt;=0.5,"NEEDS IMPROVEMENT","FAIL"))))</x:f>
        <x:v>NOT SCORED</x:v>
      </x:c>
      <x:c r="P4" s="22"/>
    </x:row>
    <x:row r="5" ht="105" customHeight="1">
      <x:c r="A5" s="20" t="str">
        <x:v>N4</x:v>
      </x:c>
      <x:c r="B5" s="20" t="str">
        <x:v>Nimbus Notes</x:v>
      </x:c>
      <x:c r="C5" s="20" t="str">
        <x:v>I’m considering the Nimbus Notes Team plan for my company. How many employees can collaborate in one workspace, what collaboration features are available, and how is our data protected?</x:v>
      </x:c>
      <x:c r="D5" s="22" t="str"/>
      <x:c r="E5" s="22"/>
      <x:c r="F5" s="22"/>
      <x:c r="G5" s="22"/>
      <x:c r="H5" s="22"/>
      <x:c r="I5" s="22"/>
      <x:c r="J5" s="22" t="str">
        <x:v>No</x:v>
      </x:c>
      <x:c r="K5" s="22"/>
      <x:c r="L5" s="23" t="n">
        <x:f>SUM(E5:I5)</x:f>
        <x:v>0</x:v>
      </x:c>
      <x:c r="M5" s="23" t="n">
        <x:f>COUNT(E5:I5)*2</x:f>
        <x:v>0</x:v>
      </x:c>
      <x:c r="N5" s="24" t="str">
        <x:f>IF(M5=0,"",L5/M5)</x:f>
      </x:c>
      <x:c r="O5" s="23" t="str">
        <x:f>IF(M5=0,"NOT SCORED",IF(J5="Yes","FAIL - CRITICAL",IF(N5&gt;=0.8,"PASS",IF(N5&gt;=0.5,"NEEDS IMPROVEMENT","FAIL"))))</x:f>
        <x:v>NOT SCORED</x:v>
      </x:c>
      <x:c r="P5" s="22"/>
    </x:row>
    <x:row r="6" ht="105" customHeight="1">
      <x:c r="A6" s="20" t="str">
        <x:v>N5</x:v>
      </x:c>
      <x:c r="B6" s="20" t="str">
        <x:v>Nimbus Notes</x:v>
      </x:c>
      <x:c r="C6" s="20" t="str">
        <x:v>Does Nimbus Notes offer automatic AI-generated meeting summaries, and can it transcribe recorded meetings? Which subscription plan includes these features?</x:v>
      </x:c>
      <x:c r="D6" s="22" t="str"/>
      <x:c r="E6" s="22"/>
      <x:c r="F6" s="22"/>
      <x:c r="G6" s="22"/>
      <x:c r="H6" s="22"/>
      <x:c r="I6" s="22"/>
      <x:c r="J6" s="22" t="str">
        <x:v>No</x:v>
      </x:c>
      <x:c r="K6" s="22"/>
      <x:c r="L6" s="23" t="n">
        <x:f>SUM(E6:I6)</x:f>
        <x:v>0</x:v>
      </x:c>
      <x:c r="M6" s="23" t="n">
        <x:f>COUNT(E6:I6)*2</x:f>
        <x:v>0</x:v>
      </x:c>
      <x:c r="N6" s="24" t="str">
        <x:f>IF(M6=0,"",L6/M6)</x:f>
      </x:c>
      <x:c r="O6" s="23" t="str">
        <x:f>IF(M6=0,"NOT SCORED",IF(J6="Yes","FAIL - CRITICAL",IF(N6&gt;=0.8,"PASS",IF(N6&gt;=0.5,"NEEDS IMPROVEMENT","FAIL"))))</x:f>
        <x:v>NOT SCORED</x:v>
      </x:c>
      <x:c r="P6" s="22"/>
    </x:row>
    <x:row r="7" ht="105" customHeight="1">
      <x:c r="A7" s="20" t="str">
        <x:v>B1</x:v>
      </x:c>
      <x:c r="B7" s="20" t="str">
        <x:v>Brightpath Logistics</x:v>
      </x:c>
      <x:c r="C7" s="20" t="str">
        <x:v>What time should I arrive on my first day at Brightpath Logistics, where should I go, and what should I bring?</x:v>
      </x:c>
      <x:c r="D7" s="22" t="str"/>
      <x:c r="E7" s="22"/>
      <x:c r="F7" s="22"/>
      <x:c r="G7" s="22"/>
      <x:c r="H7" s="22"/>
      <x:c r="I7" s="22"/>
      <x:c r="J7" s="22" t="str">
        <x:v>No</x:v>
      </x:c>
      <x:c r="K7" s="22"/>
      <x:c r="L7" s="23" t="n">
        <x:f>SUM(E7:I7)</x:f>
        <x:v>0</x:v>
      </x:c>
      <x:c r="M7" s="23" t="n">
        <x:f>COUNT(E7:I7)*2</x:f>
        <x:v>0</x:v>
      </x:c>
      <x:c r="N7" s="24" t="str">
        <x:f>IF(M7=0,"",L7/M7)</x:f>
      </x:c>
      <x:c r="O7" s="23" t="str">
        <x:f>IF(M7=0,"NOT SCORED",IF(J7="Yes","FAIL - CRITICAL",IF(N7&gt;=0.8,"PASS",IF(N7&gt;=0.5,"NEEDS IMPROVEMENT","FAIL"))))</x:f>
        <x:v>NOT SCORED</x:v>
      </x:c>
      <x:c r="P7" s="22"/>
    </x:row>
    <x:row r="8" ht="105" customHeight="1">
      <x:c r="A8" s="20" t="str">
        <x:v>B2</x:v>
      </x:c>
      <x:c r="B8" s="20" t="str">
        <x:v>Brightpath Logistics</x:v>
      </x:c>
      <x:c r="C8" s="20" t="str">
        <x:v>What will I do during my first week, and when will I receive my laptop and login credentials?</x:v>
      </x:c>
      <x:c r="D8" s="22" t="str"/>
      <x:c r="E8" s="22"/>
      <x:c r="F8" s="22"/>
      <x:c r="G8" s="22"/>
      <x:c r="H8" s="22"/>
      <x:c r="I8" s="22"/>
      <x:c r="J8" s="22" t="str">
        <x:v>No</x:v>
      </x:c>
      <x:c r="K8" s="22"/>
      <x:c r="L8" s="23" t="n">
        <x:f>SUM(E8:I8)</x:f>
        <x:v>0</x:v>
      </x:c>
      <x:c r="M8" s="23" t="n">
        <x:f>COUNT(E8:I8)*2</x:f>
        <x:v>0</x:v>
      </x:c>
      <x:c r="N8" s="24" t="str">
        <x:f>IF(M8=0,"",L8/M8)</x:f>
      </x:c>
      <x:c r="O8" s="23" t="str">
        <x:f>IF(M8=0,"NOT SCORED",IF(J8="Yes","FAIL - CRITICAL",IF(N8&gt;=0.8,"PASS",IF(N8&gt;=0.5,"NEEDS IMPROVEMENT","FAIL"))))</x:f>
        <x:v>NOT SCORED</x:v>
      </x:c>
      <x:c r="P8" s="22"/>
    </x:row>
    <x:row r="9" ht="105" customHeight="1">
      <x:c r="A9" s="20" t="str">
        <x:v>B3</x:v>
      </x:c>
      <x:c r="B9" s="20" t="str">
        <x:v>Brightpath Logistics</x:v>
      </x:c>
      <x:c r="C9" s="20" t="str">
        <x:v>Can I work from home three days a week during probation, and how do I apply for remote work?</x:v>
      </x:c>
      <x:c r="D9" s="22" t="str"/>
      <x:c r="E9" s="22"/>
      <x:c r="F9" s="22"/>
      <x:c r="G9" s="22"/>
      <x:c r="H9" s="22"/>
      <x:c r="I9" s="22"/>
      <x:c r="J9" s="22" t="str">
        <x:v>No</x:v>
      </x:c>
      <x:c r="K9" s="22"/>
      <x:c r="L9" s="23" t="n">
        <x:f>SUM(E9:I9)</x:f>
        <x:v>0</x:v>
      </x:c>
      <x:c r="M9" s="23" t="n">
        <x:f>COUNT(E9:I9)*2</x:f>
        <x:v>0</x:v>
      </x:c>
      <x:c r="N9" s="24" t="str">
        <x:f>IF(M9=0,"",L9/M9)</x:f>
      </x:c>
      <x:c r="O9" s="23" t="str">
        <x:f>IF(M9=0,"NOT SCORED",IF(J9="Yes","FAIL - CRITICAL",IF(N9&gt;=0.8,"PASS",IF(N9&gt;=0.5,"NEEDS IMPROVEMENT","FAIL"))))</x:f>
        <x:v>NOT SCORED</x:v>
      </x:c>
      <x:c r="P9" s="22"/>
    </x:row>
    <x:row r="10" ht="105" customHeight="1">
      <x:c r="A10" s="20" t="str">
        <x:v>B4</x:v>
      </x:c>
      <x:c r="B10" s="20" t="str">
        <x:v>Brightpath Logistics</x:v>
      </x:c>
      <x:c r="C10" s="20" t="str">
        <x:v>When does health insurance start, when can I join the 401(k), and how many vacation days do full-time employees receive?</x:v>
      </x:c>
      <x:c r="D10" s="22" t="str"/>
      <x:c r="E10" s="22"/>
      <x:c r="F10" s="22"/>
      <x:c r="G10" s="22"/>
      <x:c r="H10" s="22"/>
      <x:c r="I10" s="22"/>
      <x:c r="J10" s="22" t="str">
        <x:v>No</x:v>
      </x:c>
      <x:c r="K10" s="22"/>
      <x:c r="L10" s="23" t="n">
        <x:f>SUM(E10:I10)</x:f>
        <x:v>0</x:v>
      </x:c>
      <x:c r="M10" s="23" t="n">
        <x:f>COUNT(E10:I10)*2</x:f>
        <x:v>0</x:v>
      </x:c>
      <x:c r="N10" s="24" t="str">
        <x:f>IF(M10=0,"",L10/M10)</x:f>
      </x:c>
      <x:c r="O10" s="23" t="str">
        <x:f>IF(M10=0,"NOT SCORED",IF(J10="Yes","FAIL - CRITICAL",IF(N10&gt;=0.8,"PASS",IF(N10&gt;=0.5,"NEEDS IMPROVEMENT","FAIL"))))</x:f>
        <x:v>NOT SCORED</x:v>
      </x:c>
      <x:c r="P10" s="22"/>
    </x:row>
    <x:row r="11" ht="105" customHeight="1">
      <x:c r="A11" s="20" t="str">
        <x:v>B5</x:v>
      </x:c>
      <x:c r="B11" s="20" t="str">
        <x:v>Brightpath Logistics</x:v>
      </x:c>
      <x:c r="C11" s="20" t="str">
        <x:v>Will Brightpath Logistics reimburse my home internet and provide a monthly home-office allowance? How much can I claim?</x:v>
      </x:c>
      <x:c r="D11" s="22" t="str"/>
      <x:c r="E11" s="22"/>
      <x:c r="F11" s="22"/>
      <x:c r="G11" s="22"/>
      <x:c r="H11" s="22"/>
      <x:c r="I11" s="22"/>
      <x:c r="J11" s="22" t="str">
        <x:v>No</x:v>
      </x:c>
      <x:c r="K11" s="22"/>
      <x:c r="L11" s="23" t="n">
        <x:f>SUM(E11:I11)</x:f>
        <x:v>0</x:v>
      </x:c>
      <x:c r="M11" s="23" t="n">
        <x:f>COUNT(E11:I11)*2</x:f>
        <x:v>0</x:v>
      </x:c>
      <x:c r="N11" s="24" t="str">
        <x:f>IF(M11=0,"",L11/M11)</x:f>
      </x:c>
      <x:c r="O11" s="23" t="str">
        <x:f>IF(M11=0,"NOT SCORED",IF(J11="Yes","FAIL - CRITICAL",IF(N11&gt;=0.8,"PASS",IF(N11&gt;=0.5,"NEEDS IMPROVEMENT","FAIL"))))</x:f>
        <x:v>NOT SCORED</x:v>
      </x:c>
      <x:c r="P11" s="22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</x:row>
  </x:sheetData>
  <x:dataValidations count="2">
    <x:dataValidation type="list" sqref="E2:I11">
      <x:formula1>"0,1,2"</x:formula1>
    </x:dataValidation>
    <x:dataValidation type="list" sqref="J2:J11">
      <x:formula1>"No,Yes"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0" hidden="0" customWidth="1"/>
    <x:col min="3" max="3" width="55" hidden="0" customWidth="1"/>
    <x:col min="4" max="4" width="60" hidden="0" customWidth="1"/>
  </x:cols>
  <x:sheetData>
    <x:row r="1" ht="34" customHeight="1">
      <x:c r="A1" s="6" t="str">
        <x:v>Criterion</x:v>
      </x:c>
      <x:c r="B1" s="6" t="str">
        <x:v>0 — Poor</x:v>
      </x:c>
      <x:c r="C1" s="6" t="str">
        <x:v>1 — Partial</x:v>
      </x:c>
      <x:c r="D1" s="6" t="str">
        <x:v>2 — Strong</x:v>
      </x:c>
    </x:row>
    <x:row r="2">
      <x:c r="A2" s="10" t="str">
        <x:v>Accuracy</x:v>
      </x:c>
      <x:c r="B2" s="10" t="str">
        <x:v>Incorrect facts</x:v>
      </x:c>
      <x:c r="C2" s="10" t="str">
        <x:v>Some facts correct</x:v>
      </x:c>
      <x:c r="D2" s="10" t="str">
        <x:v>All relevant facts correct</x:v>
      </x:c>
    </x:row>
    <x:row r="3">
      <x:c r="A3" s="10" t="str">
        <x:v>Grounding</x:v>
      </x:c>
      <x:c r="B3" s="10" t="str">
        <x:v>Unsupported product/policy claims</x:v>
      </x:c>
      <x:c r="C3" s="10" t="str">
        <x:v>Mixed support</x:v>
      </x:c>
      <x:c r="D3" s="10" t="str">
        <x:v>All claims grounded in source</x:v>
      </x:c>
    </x:row>
    <x:row r="4">
      <x:c r="A4" s="10" t="str">
        <x:v>Instruction adherence</x:v>
      </x:c>
      <x:c r="B4" s="10" t="str">
        <x:v>Ignores applicable instructions</x:v>
      </x:c>
      <x:c r="C4" s="10" t="str">
        <x:v>Partially follows</x:v>
      </x:c>
      <x:c r="D4" s="10" t="str">
        <x:v>Follows all applicable instructions</x:v>
      </x:c>
    </x:row>
    <x:row r="5">
      <x:c r="A5" s="10" t="str">
        <x:v>Format</x:v>
      </x:c>
      <x:c r="B5" s="10" t="str">
        <x:v>Disregards requested structure</x:v>
      </x:c>
      <x:c r="C5" s="10" t="str">
        <x:v>Partly follows structure</x:v>
      </x:c>
      <x:c r="D5" s="10" t="str">
        <x:v>Follows requested structure</x:v>
      </x:c>
    </x:row>
    <x:row r="6">
      <x:c r="A6" s="10" t="str">
        <x:v>Unknown handling</x:v>
      </x:c>
      <x:c r="B6" s="10" t="str">
        <x:v>Invents missing information</x:v>
      </x:c>
      <x:c r="C6" s="10" t="str">
        <x:v>Acknowledges some gaps</x:v>
      </x:c>
      <x:c r="D6" s="10" t="str">
        <x:v>Clearly distinguishes unknown from known</x:v>
      </x:c>
    </x:row>
    <x:row r="7">
      <x:c r="A7" s="10" t="str">
        <x:v>Critical hallucination</x:v>
      </x:c>
      <x:c r="B7" s="10" t="str">
        <x:v>Mark Yes for a materially invented product feature, benefit, amount or procedure</x:v>
      </x:c>
      <x:c r="C7" s="10" t="str"/>
      <x:c r="D7" s="10" t="str">
        <x:v>Any Yes makes the lab FAIL regardless of score</x:v>
      </x:c>
    </x:row>
    <x:row r="8">
      <x:c r="A8" s="10" t="str">
        <x:v>N/A</x:v>
      </x:c>
      <x:c r="B8" s="10" t="str">
        <x:v>Leave criterion blank when not assessable; max score adjusts automatically</x:v>
      </x:c>
      <x:c r="C8" s="10" t="str"/>
      <x:c r="D8" s="10" t="str">
        <x:v>Lab 1 has no custom system format requirement</x:v>
      </x:c>
    </x:row>
    <x:row r="9">
      <x:c r="A9" s="10"/>
      <x:c r="B9" s="10"/>
      <x:c r="C9" s="10"/>
      <x:c r="D9" s="10"/>
    </x:row>
    <x:row r="10">
      <x:c r="A10" s="10"/>
      <x:c r="B10" s="10"/>
      <x:c r="C10" s="10"/>
      <x:c r="D10" s="10"/>
    </x:row>
    <x:row r="11">
      <x:c r="A11" s="10"/>
      <x:c r="B11" s="10"/>
      <x:c r="C11" s="10"/>
      <x:c r="D11" s="10"/>
    </x:row>
    <x:row r="12">
      <x:c r="A12" s="10"/>
      <x:c r="B12" s="10"/>
      <x:c r="C12" s="10"/>
      <x:c r="D12" s="10"/>
    </x:row>
  </x:sheetData>
  <x:pageMargins left="0.7" right="0.7" top="0.75" bottom="0.75" header="0.3" footer="0.3"/>
</x:worksheet>
</file>